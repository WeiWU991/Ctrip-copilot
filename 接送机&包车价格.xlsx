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接送机" sheetId="2" r:id="rId1"/>
    <sheet name="包车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<sst xmlns="http://schemas.openxmlformats.org/spreadsheetml/2006/main" count="59" uniqueCount="26">
  <si>
    <t>1、接机服务标准：不举牌，不进航站楼，在航站楼上车点按照车牌上车（客人需自行从航站楼国际到达根据指引走到上车点，出行前会建微信群，群内与司机沟通联络）</t>
  </si>
  <si>
    <t>2、接机送达酒店标准：前台陪同办理入住，陪同客人拿到房卡后司机离开</t>
  </si>
  <si>
    <t>3、送机用车服务标准：送机出发时间：航班起飞前3~4小时</t>
  </si>
  <si>
    <t>4、注意：送机出发地点与时间一般在用车前3天左右，微信管家与客人二次确认。确认后无法更改，不接受对确定好时间和用车地点的临时调整</t>
  </si>
  <si>
    <t>5、车辆车型不指定：7座商务车与10座商务车随机安排，婴儿也需要计算为占座人数</t>
  </si>
  <si>
    <t>编号</t>
  </si>
  <si>
    <t>行程</t>
  </si>
  <si>
    <t>出发地</t>
  </si>
  <si>
    <t>结束地</t>
  </si>
  <si>
    <t>1~4人结算价 （单位：人民币/车次）</t>
  </si>
  <si>
    <t>5~9人结算价 （单位：人民币/车次）</t>
  </si>
  <si>
    <t>接机</t>
  </si>
  <si>
    <t>大阪关西机场</t>
  </si>
  <si>
    <t>大阪市内酒店</t>
  </si>
  <si>
    <t>送机</t>
  </si>
  <si>
    <t>京都市内酒店</t>
  </si>
  <si>
    <t>东京羽田/成田机场</t>
  </si>
  <si>
    <t>东京市内酒店</t>
  </si>
  <si>
    <t>（不区分机场，一口价）</t>
  </si>
  <si>
    <t>新千岁机场</t>
  </si>
  <si>
    <t>札幌市区酒店</t>
  </si>
  <si>
    <t>12.15-3.15 1750；其余日期1350</t>
  </si>
  <si>
    <t>包车线路</t>
  </si>
  <si>
    <t>车型</t>
  </si>
  <si>
    <t>包车价格（人民币）</t>
  </si>
  <si>
    <t>10座海狮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</si>
</sst>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/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/>
      <bottom/>
      <diagonal/>
    </border>
    <border>
      <left/>
      <right style="medium">
        <color rgb="FFDEE0E3"/>
      </right>
      <top/>
      <bottom/>
      <diagonal/>
    </border>
    <border>
      <left style="medium">
        <color rgb="FFDEE0E3"/>
      </left>
      <right/>
      <top/>
      <bottom style="medium">
        <color rgb="FFDEE0E3"/>
      </bottom>
      <diagonal/>
    </border>
    <border>
      <left/>
      <right/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85;&#28216;&#20215;&#26684;&amp;&#34892;&#31243;&#26102;&#21051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商品价格"/>
      <sheetName val="富士山奥莱线"/>
      <sheetName val="双湖KABA线"/>
      <sheetName val="箱根线"/>
      <sheetName val="镰仓线"/>
      <sheetName val="京都奈良双古都线"/>
      <sheetName val="天桥立线"/>
      <sheetName val="三千院线"/>
      <sheetName val="岚山线"/>
      <sheetName val="胜尾寺线"/>
      <sheetName val="白川乡线"/>
      <sheetName val="九州线"/>
      <sheetName val="旭川线"/>
      <sheetName val="登别洞爷湖"/>
      <sheetName val="小樽线"/>
    </sheetNames>
    <sheetDataSet>
      <sheetData sheetId="0">
        <row r="2">
          <cell r="A2" t="str">
            <v>富士山奥莱线</v>
          </cell>
        </row>
        <row r="2">
          <cell r="F2">
            <v>350</v>
          </cell>
        </row>
        <row r="3">
          <cell r="A3" t="str">
            <v>镰仓线</v>
          </cell>
        </row>
        <row r="3">
          <cell r="F3">
            <v>350</v>
          </cell>
        </row>
        <row r="4">
          <cell r="A4" t="str">
            <v>箱根线</v>
          </cell>
        </row>
        <row r="4">
          <cell r="F4">
            <v>350</v>
          </cell>
        </row>
        <row r="5">
          <cell r="A5" t="str">
            <v>镰仓线</v>
          </cell>
        </row>
        <row r="5">
          <cell r="F5">
            <v>350</v>
          </cell>
        </row>
        <row r="6">
          <cell r="A6" t="str">
            <v>日光线</v>
          </cell>
        </row>
        <row r="6">
          <cell r="F6">
            <v>350</v>
          </cell>
        </row>
        <row r="7">
          <cell r="A7" t="str">
            <v>双古都奈良京都线</v>
          </cell>
        </row>
        <row r="7">
          <cell r="F7">
            <v>350</v>
          </cell>
        </row>
        <row r="8">
          <cell r="A8" t="str">
            <v>岚山+伏见稻荷大社+清水寺</v>
          </cell>
        </row>
        <row r="8">
          <cell r="F8">
            <v>350</v>
          </cell>
        </row>
        <row r="9">
          <cell r="A9" t="str">
            <v>胜尾寺+神户港+有马温泉</v>
          </cell>
        </row>
        <row r="9">
          <cell r="F9">
            <v>350</v>
          </cell>
        </row>
        <row r="10">
          <cell r="A10" t="str">
            <v>三千院+贵船线路</v>
          </cell>
        </row>
        <row r="10">
          <cell r="F10">
            <v>350</v>
          </cell>
        </row>
        <row r="11">
          <cell r="A11" t="str">
            <v>旭川一日游</v>
          </cell>
        </row>
        <row r="11">
          <cell r="F11">
            <v>350</v>
          </cell>
        </row>
        <row r="12">
          <cell r="A12" t="str">
            <v>登别洞爷湖日游</v>
          </cell>
        </row>
        <row r="12">
          <cell r="F12">
            <v>350</v>
          </cell>
        </row>
        <row r="13">
          <cell r="A13" t="str">
            <v>小樽日游</v>
          </cell>
        </row>
        <row r="13">
          <cell r="F13">
            <v>350</v>
          </cell>
        </row>
        <row r="14">
          <cell r="A14" t="str">
            <v>九州阿苏火山日游</v>
          </cell>
        </row>
        <row r="14">
          <cell r="F14">
            <v>450</v>
          </cell>
        </row>
        <row r="15">
          <cell r="A15" t="str">
            <v>名古屋线路</v>
          </cell>
        </row>
        <row r="15">
          <cell r="F15">
            <v>500</v>
          </cell>
        </row>
        <row r="16">
          <cell r="A16" t="str">
            <v>天桥立日游</v>
          </cell>
        </row>
        <row r="16">
          <cell r="F16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J6" sqref="J6"/>
    </sheetView>
  </sheetViews>
  <sheetFormatPr defaultColWidth="9" defaultRowHeight="14" outlineLevelCol="5"/>
  <cols>
    <col min="1" max="1" width="9.90909090909091" customWidth="1"/>
    <col min="2" max="2" width="10.7272727272727" customWidth="1"/>
    <col min="3" max="3" width="23" customWidth="1"/>
    <col min="4" max="4" width="21.3636363636364" customWidth="1"/>
    <col min="5" max="5" width="21.1818181818182" customWidth="1"/>
    <col min="6" max="6" width="19" customWidth="1"/>
  </cols>
  <sheetData>
    <row r="1" ht="39" customHeight="1" spans="1:6">
      <c r="A1" s="4" t="s">
        <v>0</v>
      </c>
      <c r="B1" s="5"/>
      <c r="C1" s="5"/>
      <c r="D1" s="5"/>
      <c r="E1" s="5"/>
      <c r="F1" s="6"/>
    </row>
    <row r="2" ht="26" customHeight="1" spans="1:6">
      <c r="A2" s="7" t="s">
        <v>1</v>
      </c>
      <c r="B2" s="8"/>
      <c r="C2" s="8"/>
      <c r="D2" s="8"/>
      <c r="E2" s="8"/>
      <c r="F2" s="9"/>
    </row>
    <row r="3" customHeight="1" spans="1:6">
      <c r="A3" s="7" t="s">
        <v>2</v>
      </c>
      <c r="B3" s="8"/>
      <c r="C3" s="8"/>
      <c r="D3" s="8"/>
      <c r="E3" s="8"/>
      <c r="F3" s="9"/>
    </row>
    <row r="4" ht="39" customHeight="1" spans="1:6">
      <c r="A4" s="7" t="s">
        <v>3</v>
      </c>
      <c r="B4" s="8"/>
      <c r="C4" s="8"/>
      <c r="D4" s="8"/>
      <c r="E4" s="8"/>
      <c r="F4" s="9"/>
    </row>
    <row r="5" ht="26.75" customHeight="1" spans="1:6">
      <c r="A5" s="10" t="s">
        <v>4</v>
      </c>
      <c r="B5" s="11"/>
      <c r="C5" s="11"/>
      <c r="D5" s="11"/>
      <c r="E5" s="11"/>
      <c r="F5" s="12"/>
    </row>
    <row r="6" ht="30" customHeight="1" spans="1:6">
      <c r="A6" s="13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4" t="s">
        <v>10</v>
      </c>
    </row>
    <row r="7" ht="14.75" spans="1:6">
      <c r="A7" s="15">
        <v>1</v>
      </c>
      <c r="B7" s="16" t="s">
        <v>11</v>
      </c>
      <c r="C7" s="16" t="s">
        <v>12</v>
      </c>
      <c r="D7" s="16" t="s">
        <v>13</v>
      </c>
      <c r="E7" s="16">
        <v>699</v>
      </c>
      <c r="F7" s="16">
        <v>999</v>
      </c>
    </row>
    <row r="8" ht="14.75" spans="1:6">
      <c r="A8" s="15">
        <v>2</v>
      </c>
      <c r="B8" s="16" t="s">
        <v>14</v>
      </c>
      <c r="C8" s="16" t="s">
        <v>13</v>
      </c>
      <c r="D8" s="16" t="s">
        <v>12</v>
      </c>
      <c r="E8" s="16">
        <v>699</v>
      </c>
      <c r="F8" s="16">
        <v>999</v>
      </c>
    </row>
    <row r="9" ht="14.75" spans="1:6">
      <c r="A9" s="15">
        <v>3</v>
      </c>
      <c r="B9" s="16" t="s">
        <v>11</v>
      </c>
      <c r="C9" s="16" t="s">
        <v>12</v>
      </c>
      <c r="D9" s="16" t="s">
        <v>15</v>
      </c>
      <c r="E9" s="16">
        <v>1399</v>
      </c>
      <c r="F9" s="16">
        <v>1399</v>
      </c>
    </row>
    <row r="10" ht="14.75" spans="1:6">
      <c r="A10" s="15">
        <v>4</v>
      </c>
      <c r="B10" s="16" t="s">
        <v>14</v>
      </c>
      <c r="C10" s="16" t="s">
        <v>15</v>
      </c>
      <c r="D10" s="16" t="s">
        <v>12</v>
      </c>
      <c r="E10" s="16">
        <v>1399</v>
      </c>
      <c r="F10" s="16">
        <v>1399</v>
      </c>
    </row>
    <row r="11" ht="27.5" customHeight="1" spans="1:6">
      <c r="A11" s="15">
        <v>5</v>
      </c>
      <c r="B11" s="16" t="s">
        <v>11</v>
      </c>
      <c r="C11" s="17" t="s">
        <v>16</v>
      </c>
      <c r="D11" s="16" t="s">
        <v>17</v>
      </c>
      <c r="E11" s="16">
        <v>850</v>
      </c>
      <c r="F11" s="16">
        <v>1050</v>
      </c>
    </row>
    <row r="12" ht="14.75" spans="1:6">
      <c r="A12" s="15"/>
      <c r="B12" s="16"/>
      <c r="C12" s="18" t="s">
        <v>18</v>
      </c>
      <c r="D12" s="16"/>
      <c r="E12" s="16"/>
      <c r="F12" s="16"/>
    </row>
    <row r="13" ht="27.5" customHeight="1" spans="1:6">
      <c r="A13" s="15">
        <v>6</v>
      </c>
      <c r="B13" s="16" t="s">
        <v>14</v>
      </c>
      <c r="C13" s="16" t="s">
        <v>17</v>
      </c>
      <c r="D13" s="17" t="s">
        <v>16</v>
      </c>
      <c r="E13" s="16">
        <v>800</v>
      </c>
      <c r="F13" s="16">
        <v>988</v>
      </c>
    </row>
    <row r="14" ht="14.75" spans="1:6">
      <c r="A14" s="15"/>
      <c r="B14" s="16"/>
      <c r="C14" s="16"/>
      <c r="D14" s="18" t="s">
        <v>18</v>
      </c>
      <c r="E14" s="16"/>
      <c r="F14" s="16"/>
    </row>
    <row r="15" ht="26.75" spans="1:6">
      <c r="A15" s="15">
        <v>7</v>
      </c>
      <c r="B15" s="16" t="s">
        <v>11</v>
      </c>
      <c r="C15" s="16" t="s">
        <v>19</v>
      </c>
      <c r="D15" s="16" t="s">
        <v>20</v>
      </c>
      <c r="E15" s="16" t="s">
        <v>21</v>
      </c>
      <c r="F15" s="16" t="s">
        <v>21</v>
      </c>
    </row>
    <row r="16" ht="26.75" spans="1:6">
      <c r="A16" s="15">
        <v>8</v>
      </c>
      <c r="B16" s="16" t="s">
        <v>14</v>
      </c>
      <c r="C16" s="16" t="s">
        <v>20</v>
      </c>
      <c r="D16" s="16" t="s">
        <v>19</v>
      </c>
      <c r="E16" s="16" t="s">
        <v>21</v>
      </c>
      <c r="F16" s="16" t="s">
        <v>21</v>
      </c>
    </row>
  </sheetData>
  <mergeCells count="15">
    <mergeCell ref="A1:F1"/>
    <mergeCell ref="A2:F2"/>
    <mergeCell ref="A3:F3"/>
    <mergeCell ref="A4:F4"/>
    <mergeCell ref="A5:F5"/>
    <mergeCell ref="A11:A12"/>
    <mergeCell ref="A13:A14"/>
    <mergeCell ref="B11:B12"/>
    <mergeCell ref="B13:B14"/>
    <mergeCell ref="C13:C14"/>
    <mergeCell ref="D11:D12"/>
    <mergeCell ref="E11:E12"/>
    <mergeCell ref="E13:E14"/>
    <mergeCell ref="F11:F12"/>
    <mergeCell ref="F13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7"/>
  <sheetViews>
    <sheetView tabSelected="1" workbookViewId="0">
      <selection activeCell="I22" sqref="I22"/>
    </sheetView>
  </sheetViews>
  <sheetFormatPr defaultColWidth="8.72727272727273" defaultRowHeight="14" outlineLevelCol="2"/>
  <cols>
    <col min="1" max="1" width="29.4545454545455" customWidth="1"/>
    <col min="2" max="2" width="15.3636363636364" customWidth="1"/>
    <col min="3" max="3" width="20.4545454545455" customWidth="1"/>
  </cols>
  <sheetData>
    <row r="2" spans="1:3">
      <c r="A2" s="1" t="s">
        <v>22</v>
      </c>
      <c r="B2" s="1" t="s">
        <v>23</v>
      </c>
      <c r="C2" s="1" t="s">
        <v>24</v>
      </c>
    </row>
    <row r="3" spans="1:3">
      <c r="A3" s="2" t="str">
        <f>[1]商品价格!A2</f>
        <v>富士山奥莱线</v>
      </c>
      <c r="B3" s="2" t="s">
        <v>25</v>
      </c>
      <c r="C3" s="3">
        <f>[1]商品价格!F2*8/1.15</f>
        <v>2434.78260869565</v>
      </c>
    </row>
    <row r="4" spans="1:3">
      <c r="A4" s="2" t="str">
        <f>[1]商品价格!A3</f>
        <v>镰仓线</v>
      </c>
      <c r="B4" s="2" t="s">
        <v>25</v>
      </c>
      <c r="C4" s="3">
        <f>[1]商品价格!F3*8/1.15</f>
        <v>2434.78260869565</v>
      </c>
    </row>
    <row r="5" spans="1:3">
      <c r="A5" s="2" t="str">
        <f>[1]商品价格!A4</f>
        <v>箱根线</v>
      </c>
      <c r="B5" s="2" t="s">
        <v>25</v>
      </c>
      <c r="C5" s="3">
        <f>[1]商品价格!F4*8/1.15</f>
        <v>2434.78260869565</v>
      </c>
    </row>
    <row r="6" spans="1:3">
      <c r="A6" s="2" t="str">
        <f>[1]商品价格!A5</f>
        <v>镰仓线</v>
      </c>
      <c r="B6" s="2" t="s">
        <v>25</v>
      </c>
      <c r="C6" s="3">
        <f>[1]商品价格!F5*8/1.15</f>
        <v>2434.78260869565</v>
      </c>
    </row>
    <row r="7" spans="1:3">
      <c r="A7" s="2" t="str">
        <f>[1]商品价格!A6</f>
        <v>日光线</v>
      </c>
      <c r="B7" s="2" t="s">
        <v>25</v>
      </c>
      <c r="C7" s="3">
        <f>[1]商品价格!F6*8/1.15</f>
        <v>2434.78260869565</v>
      </c>
    </row>
    <row r="8" spans="1:3">
      <c r="A8" s="2" t="str">
        <f>[1]商品价格!A7</f>
        <v>双古都奈良京都线</v>
      </c>
      <c r="B8" s="2" t="s">
        <v>25</v>
      </c>
      <c r="C8" s="3">
        <f>[1]商品价格!F7*8/1.15</f>
        <v>2434.78260869565</v>
      </c>
    </row>
    <row r="9" spans="1:3">
      <c r="A9" s="2" t="str">
        <f>[1]商品价格!A8</f>
        <v>岚山+伏见稻荷大社+清水寺</v>
      </c>
      <c r="B9" s="2" t="s">
        <v>25</v>
      </c>
      <c r="C9" s="3">
        <f>[1]商品价格!F8*8/1.15</f>
        <v>2434.78260869565</v>
      </c>
    </row>
    <row r="10" spans="1:3">
      <c r="A10" s="2" t="str">
        <f>[1]商品价格!A9</f>
        <v>胜尾寺+神户港+有马温泉</v>
      </c>
      <c r="B10" s="2" t="s">
        <v>25</v>
      </c>
      <c r="C10" s="3">
        <f>[1]商品价格!F9*8/1.15</f>
        <v>2434.78260869565</v>
      </c>
    </row>
    <row r="11" spans="1:3">
      <c r="A11" s="2" t="str">
        <f>[1]商品价格!A10</f>
        <v>三千院+贵船线路</v>
      </c>
      <c r="B11" s="2" t="s">
        <v>25</v>
      </c>
      <c r="C11" s="3">
        <f>[1]商品价格!F10*8/1.15</f>
        <v>2434.78260869565</v>
      </c>
    </row>
    <row r="12" spans="1:3">
      <c r="A12" s="2" t="str">
        <f>[1]商品价格!A11</f>
        <v>旭川一日游</v>
      </c>
      <c r="B12" s="2" t="s">
        <v>25</v>
      </c>
      <c r="C12" s="3">
        <f>[1]商品价格!F11*8/1.15</f>
        <v>2434.78260869565</v>
      </c>
    </row>
    <row r="13" spans="1:3">
      <c r="A13" s="2" t="str">
        <f>[1]商品价格!A12</f>
        <v>登别洞爷湖日游</v>
      </c>
      <c r="B13" s="2" t="s">
        <v>25</v>
      </c>
      <c r="C13" s="3">
        <f>[1]商品价格!F12*8/1.15</f>
        <v>2434.78260869565</v>
      </c>
    </row>
    <row r="14" spans="1:3">
      <c r="A14" s="2" t="str">
        <f>[1]商品价格!A13</f>
        <v>小樽日游</v>
      </c>
      <c r="B14" s="2" t="s">
        <v>25</v>
      </c>
      <c r="C14" s="3">
        <f>[1]商品价格!F13*8/1.15</f>
        <v>2434.78260869565</v>
      </c>
    </row>
    <row r="15" spans="1:3">
      <c r="A15" s="2" t="str">
        <f>[1]商品价格!A14</f>
        <v>九州阿苏火山日游</v>
      </c>
      <c r="B15" s="2" t="s">
        <v>25</v>
      </c>
      <c r="C15" s="3">
        <f>[1]商品价格!F14*8/1.15</f>
        <v>3130.4347826087</v>
      </c>
    </row>
    <row r="16" spans="1:3">
      <c r="A16" s="2" t="str">
        <f>[1]商品价格!A15</f>
        <v>名古屋线路</v>
      </c>
      <c r="B16" s="2" t="s">
        <v>25</v>
      </c>
      <c r="C16" s="3">
        <f>[1]商品价格!F15*8/1.15</f>
        <v>3478.26086956522</v>
      </c>
    </row>
    <row r="17" spans="1:3">
      <c r="A17" s="2" t="str">
        <f>[1]商品价格!A16</f>
        <v>天桥立日游</v>
      </c>
      <c r="B17" s="2" t="s">
        <v>25</v>
      </c>
      <c r="C17" s="3">
        <f>[1]商品价格!F16*8/1.15</f>
        <v>3478.26086956522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接送机</vt:lpstr>
      <vt:lpstr>包车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Sun （孙訢予）</dc:creator>
  <cp:lastModifiedBy>S.W.</cp:lastModifiedBy>
  <dcterms:created xsi:type="dcterms:W3CDTF">2023-05-12T11:15:00Z</dcterms:created>
  <dcterms:modified xsi:type="dcterms:W3CDTF">2026-01-09T12:01:19Z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88F7B5396FFC4B9B96B59F66333B348E_13</vt:lpwstr>
  </property>
  <property fmtid="{D5CDD505-2E9C-101B-9397-08002B2CF9AE}" pid="4" name="CalculationRule">
    <vt:i4>0</vt:i4>
  </property>
</Properties>
</file>